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tareas Sprints" sheetId="1" r:id="rId4"/>
    <sheet state="visible" name="Product Backlog tareas Sprint 1" sheetId="2" r:id="rId5"/>
    <sheet state="visible" name="Product Backlog tareas Sprint 2" sheetId="3" r:id="rId6"/>
    <sheet state="visible" name="Product Backlog tareas Sprint 3" sheetId="4" r:id="rId7"/>
    <sheet state="visible" name="Product Backlog tareas Sprint 4" sheetId="5" r:id="rId8"/>
    <sheet state="visible" name="Product Backlog tareas Sprint 5" sheetId="6" r:id="rId9"/>
    <sheet state="visible" name="Product Backlog tareas Sprint 6" sheetId="7" r:id="rId10"/>
  </sheets>
  <definedNames/>
  <calcPr/>
  <extLst>
    <ext uri="GoogleSheetsCustomDataVersion2">
      <go:sheetsCustomData xmlns:go="http://customooxmlschemas.google.com/" r:id="rId11" roundtripDataChecksum="pCim7ta8TYFGCmBhzGVKgIlpxw5j2hVpSF43EQrBTjk="/>
    </ext>
  </extLst>
</workbook>
</file>

<file path=xl/sharedStrings.xml><?xml version="1.0" encoding="utf-8"?>
<sst xmlns="http://schemas.openxmlformats.org/spreadsheetml/2006/main" count="202" uniqueCount="140">
  <si>
    <t xml:space="preserve">Resultado de la actividad Sprint Planning </t>
  </si>
  <si>
    <t>Sprint Backlog con estimación de tareas para las historia de usuario del Primer Sprint</t>
  </si>
  <si>
    <t>Total Horas:</t>
  </si>
  <si>
    <t>Id Historia</t>
  </si>
  <si>
    <t>Id Tarea</t>
  </si>
  <si>
    <t>Tareas o actividad</t>
  </si>
  <si>
    <t>Horas estimadas</t>
  </si>
  <si>
    <t>Fecha Inicio</t>
  </si>
  <si>
    <t>Fecha Termino</t>
  </si>
  <si>
    <t>SS-H05</t>
  </si>
  <si>
    <t>T-09</t>
  </si>
  <si>
    <t>SS-H09 / SS-H20 / SS-H10</t>
  </si>
  <si>
    <t>T-17</t>
  </si>
  <si>
    <t>Configurar el entorno de desarrollo, estructura inicial del sistema y conexión con la base de datos.</t>
  </si>
  <si>
    <t>Definir y organizar las épicas principales del proyecto SmartStock.</t>
  </si>
  <si>
    <t>SS-H01</t>
  </si>
  <si>
    <t>SS-H09 / SS-H20</t>
  </si>
  <si>
    <t>T-18</t>
  </si>
  <si>
    <t>Diseñar e implementar el modelo de datos para usuarios, roles y autenticación.</t>
  </si>
  <si>
    <t>T-01</t>
  </si>
  <si>
    <t>Analizar y definir la problemática, propósito y alcance inicial del proyecto SmartStock.</t>
  </si>
  <si>
    <t>SS-H09</t>
  </si>
  <si>
    <t>T-19</t>
  </si>
  <si>
    <t>Implementar inicio y cierre de sesión, validación de credenciales y control de cuentas desactivadas.</t>
  </si>
  <si>
    <t>T-10</t>
  </si>
  <si>
    <t>Elaborar y revisar las historias de usuario y sus criterios de aceptación.</t>
  </si>
  <si>
    <t>Sprint 1
27/08 → 02/09</t>
  </si>
  <si>
    <t>SS-H20</t>
  </si>
  <si>
    <t>T-20</t>
  </si>
  <si>
    <t>Implementar creación, edición, activación y desactivación de usuarios.</t>
  </si>
  <si>
    <t>SS-H06</t>
  </si>
  <si>
    <t>T-11</t>
  </si>
  <si>
    <t>Priorizar las épicas e historias del Product Backlog utilizando la técnica MoSCoW.</t>
  </si>
  <si>
    <t>T-21</t>
  </si>
  <si>
    <t>T-02</t>
  </si>
  <si>
    <t>Implementar asignación de roles, permisos y control de acceso según tipo de usuario.</t>
  </si>
  <si>
    <t>Completar la definición del proyecto y Acta de Constitución, incluyendo objetivos, interesados y responsabilidades principales.</t>
  </si>
  <si>
    <t>SS-H10</t>
  </si>
  <si>
    <t>T-22</t>
  </si>
  <si>
    <t>T-12</t>
  </si>
  <si>
    <t>Implementar modelo de datos y funcionalidades básicas para registrar, editar y desactivar productos.</t>
  </si>
  <si>
    <t>Realizar Planning Poker y asignar puntos de historia utilizando la escala de Fibonacci.</t>
  </si>
  <si>
    <t>SS-H02</t>
  </si>
  <si>
    <t>T-03</t>
  </si>
  <si>
    <t>Identificar y documentar los requerimientos funcionales de SmartStock.</t>
  </si>
  <si>
    <t>SS-H09 / SS-H10 / SS-H20</t>
  </si>
  <si>
    <t>T-23</t>
  </si>
  <si>
    <t>Integrar interfaces, backend y base de datos, realizando pruebas funcionales de los módulos desarrollados.</t>
  </si>
  <si>
    <t>SS-H07</t>
  </si>
  <si>
    <t>T-13</t>
  </si>
  <si>
    <t>Definir la cantidad de Sprints y distribuir las historias según prioridad y dependencia.</t>
  </si>
  <si>
    <t>T-04</t>
  </si>
  <si>
    <t>Identificar, clasificar y validar los requerimientos no funcionales y revisar la matriz de requerimientos.</t>
  </si>
  <si>
    <t>T-24</t>
  </si>
  <si>
    <t>Documentar el incremento desarrollado y recopilar las evidencias correspondientes al Sprint.</t>
  </si>
  <si>
    <t>SS-H107</t>
  </si>
  <si>
    <t>T-14</t>
  </si>
  <si>
    <t>Elaborar los Sprint Backlog con tareas y estimación de horas para cada iteración.</t>
  </si>
  <si>
    <t>SS-H03</t>
  </si>
  <si>
    <t>T-05</t>
  </si>
  <si>
    <t>Analizar y seleccionar las tecnologías y herramientas que se utilizarán en el proyecto.</t>
  </si>
  <si>
    <t>SS-H08</t>
  </si>
  <si>
    <t>T-15</t>
  </si>
  <si>
    <t>Revisar la coherencia entre requerimientos, épicas, historias, planificación y demás documentos de la Fase 1.</t>
  </si>
  <si>
    <t>T-06</t>
  </si>
  <si>
    <t>Definir la arquitectura preliminar y validar técnicamente la propuesta con el equipo.</t>
  </si>
  <si>
    <t>T-16</t>
  </si>
  <si>
    <t>Consolidar, corregir y preparar la documentación y evidencias finales de la Fase 1.</t>
  </si>
  <si>
    <t>SS-H04</t>
  </si>
  <si>
    <t>T-07</t>
  </si>
  <si>
    <t>Organizar el repositorio GitHub, estructura de carpetas, documentación y evidencias de la Fase 1.</t>
  </si>
  <si>
    <t xml:space="preserve"> </t>
  </si>
  <si>
    <t>T-08</t>
  </si>
  <si>
    <t>Revisar, corregir y consolidar la documentación y evidencias generadas durante el Sprint.</t>
  </si>
  <si>
    <t>Sprint 2
03/09 → 09/09</t>
  </si>
  <si>
    <t>Sprint 3
10/09 → 30/09</t>
  </si>
  <si>
    <t>Sprint 4
01/10 → 22/10</t>
  </si>
  <si>
    <t>Sprint 5
23/10 → 19/11</t>
  </si>
  <si>
    <t>Sprint 6
20/11 → 17/12</t>
  </si>
  <si>
    <t>SS-H12</t>
  </si>
  <si>
    <t>T-25</t>
  </si>
  <si>
    <t>Implementar la gestión de sucursales, incluyendo creación, edición y consulta.</t>
  </si>
  <si>
    <t>SS-H14</t>
  </si>
  <si>
    <t>T-26</t>
  </si>
  <si>
    <t>Implementar la gestión de bodegas asociadas a sucursales, incluyendo edición y desactivación lógica.</t>
  </si>
  <si>
    <t>SS-H15</t>
  </si>
  <si>
    <t>T-27</t>
  </si>
  <si>
    <t>Implementar pasillos, estanterías, niveles, posiciones y asignación de productos a ubicaciones físicas.</t>
  </si>
  <si>
    <t>SS-H11</t>
  </si>
  <si>
    <t>T-28</t>
  </si>
  <si>
    <t>Implementar entradas y salidas de inventario mediante escaneo de código de barras o ingreso manual.</t>
  </si>
  <si>
    <t>SS-H16</t>
  </si>
  <si>
    <t>T-29</t>
  </si>
  <si>
    <t>Implementar transferencias de productos entre bodegas con actualización del stock de origen y destino.</t>
  </si>
  <si>
    <t>SS-H17</t>
  </si>
  <si>
    <t>T-30</t>
  </si>
  <si>
    <t>Implementar registro de mermas con cantidad, motivo, responsable y actualización del stock.</t>
  </si>
  <si>
    <t>SS-H11 / H12 / H14 / H15 / H16 / H17</t>
  </si>
  <si>
    <t>T-31</t>
  </si>
  <si>
    <t>Integrar los módulos desarrollados y ejecutar pruebas funcionales de los principales flujos de inventario.</t>
  </si>
  <si>
    <t>T-32</t>
  </si>
  <si>
    <t>Documentar el incremento desarrollado y recopilar evidencias del Sprint.</t>
  </si>
  <si>
    <t>SS-H18</t>
  </si>
  <si>
    <t>T-33</t>
  </si>
  <si>
    <t>Implementar la consulta de stock por producto, sucursal, bodega y ubicación física.</t>
  </si>
  <si>
    <t>SS-H13</t>
  </si>
  <si>
    <t>T-34</t>
  </si>
  <si>
    <t>SS-H09 a SS-H22</t>
  </si>
  <si>
    <t>Implementar la configuración de stock mínimo y generación automática de alertas.</t>
  </si>
  <si>
    <t>T-41</t>
  </si>
  <si>
    <t>Integrar los módulos desarrollados y verificar el flujo completo de funcionamiento de SmartStock.</t>
  </si>
  <si>
    <t>T-35</t>
  </si>
  <si>
    <t>Implementar la visualización, seguimiento y cierre automático de alertas de stock.</t>
  </si>
  <si>
    <t>T-42</t>
  </si>
  <si>
    <t>Verificar la comunicación y consistencia de datos entre interfaces, APIs y base de datos.</t>
  </si>
  <si>
    <t>SS-H19</t>
  </si>
  <si>
    <t>T-36</t>
  </si>
  <si>
    <t>Implementar historial, detalle y filtros de movimientos para mantener la trazabilidad del inventario.</t>
  </si>
  <si>
    <t>T-43</t>
  </si>
  <si>
    <t>SS-H21</t>
  </si>
  <si>
    <t>Ejecutar pruebas funcionales e integrales sobre los principales flujos del sistema.</t>
  </si>
  <si>
    <t>T-37</t>
  </si>
  <si>
    <t>Implementar conteos físicos y comparación entre inventario físico y stock registrado.</t>
  </si>
  <si>
    <t>T-44</t>
  </si>
  <si>
    <t>SS-H22</t>
  </si>
  <si>
    <t>Validar autenticación, roles, permisos y restricciones de acceso del sistema.</t>
  </si>
  <si>
    <t>T-38</t>
  </si>
  <si>
    <t>Implementar ajustes de inventario con cantidad, motivo, responsable y registro de trazabilidad.</t>
  </si>
  <si>
    <t>T-45</t>
  </si>
  <si>
    <t>SS-H13 / H18 / H19 / H21 / H22</t>
  </si>
  <si>
    <t>Corregir errores e incidencias detectadas y realizar ajustes finales de funcionamiento.</t>
  </si>
  <si>
    <t>T-39</t>
  </si>
  <si>
    <t>Integrar los módulos de control de inventario y ejecutar pruebas funcionales de los principales escenarios.</t>
  </si>
  <si>
    <t>T-40</t>
  </si>
  <si>
    <t>T-46</t>
  </si>
  <si>
    <t>Preparar y realizar el despliegue de la versión final de SmartStock.</t>
  </si>
  <si>
    <t>T-47</t>
  </si>
  <si>
    <t>Completar documentación técnica, manuales, evidencias y registros finales del proyecto.</t>
  </si>
  <si>
    <t>T-48</t>
  </si>
  <si>
    <t>Preparar la demostración, presentación y entrega final de SmartStock.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</si>
</sst>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9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sz val="14.0"/>
      <color theme="1"/>
      <name val="Calibri"/>
    </font>
    <font/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3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3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FFFFFF"/>
      </right>
      <top style="thin">
        <color rgb="FFFFFFFF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2" fillId="0" fontId="1" numFmtId="0" xfId="0" applyBorder="1" applyFont="1"/>
    <xf borderId="2" fillId="0" fontId="2" numFmtId="0" xfId="0" applyBorder="1" applyFont="1"/>
    <xf borderId="3" fillId="0" fontId="3" numFmtId="0" xfId="0" applyAlignment="1" applyBorder="1" applyFont="1">
      <alignment horizontal="right" vertical="center"/>
    </xf>
    <xf borderId="4" fillId="0" fontId="4" numFmtId="0" xfId="0" applyBorder="1" applyFont="1"/>
    <xf borderId="5" fillId="0" fontId="5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2" fontId="6" numFmtId="0" xfId="0" applyAlignment="1" applyBorder="1" applyFill="1" applyFont="1">
      <alignment horizontal="center"/>
    </xf>
    <xf borderId="9" fillId="2" fontId="6" numFmtId="0" xfId="0" applyAlignment="1" applyBorder="1" applyFill="1" applyFont="1">
      <alignment horizontal="center" shrinkToFit="0" vertical="center" wrapText="1"/>
    </xf>
    <xf borderId="10" fillId="2" fontId="6" numFmtId="0" xfId="0" applyAlignment="1" applyBorder="1" applyFill="1" applyFont="1">
      <alignment horizontal="center"/>
    </xf>
    <xf borderId="11" fillId="2" fontId="6" numFmtId="0" xfId="0" applyAlignment="1" applyBorder="1" applyFill="1" applyFont="1">
      <alignment horizontal="center" shrinkToFit="0" vertical="center" wrapText="1"/>
    </xf>
    <xf borderId="10" fillId="2" fontId="6" numFmtId="0" xfId="0" applyAlignment="1" applyBorder="1" applyFill="1" applyFont="1">
      <alignment horizontal="center" shrinkToFit="0" wrapText="1"/>
    </xf>
    <xf borderId="12" fillId="2" fontId="6" numFmtId="0" xfId="0" applyAlignment="1" applyBorder="1" applyFill="1" applyFont="1">
      <alignment horizontal="center" shrinkToFit="0" vertical="center" wrapText="1"/>
    </xf>
    <xf borderId="13" fillId="2" fontId="6" numFmtId="0" xfId="0" applyAlignment="1" applyBorder="1" applyFill="1" applyFont="1">
      <alignment horizontal="center" shrinkToFit="0" wrapText="1"/>
    </xf>
    <xf borderId="6" fillId="0" fontId="6" numFmtId="0" xfId="0" applyBorder="1" applyFont="1"/>
    <xf borderId="14" fillId="0" fontId="6" numFmtId="0" xfId="0" applyBorder="1" applyFont="1"/>
    <xf borderId="9" fillId="2" fontId="6" numFmtId="0" xfId="0" applyAlignment="1" applyBorder="1" applyFill="1" applyFont="1">
      <alignment horizontal="center" vertical="center"/>
    </xf>
    <xf borderId="15" fillId="0" fontId="2" numFmtId="0" xfId="0" applyAlignment="1" applyBorder="1" applyFont="1">
      <alignment horizontal="center" readingOrder="0" shrinkToFit="0" vertical="center" wrapText="1"/>
    </xf>
    <xf borderId="11" fillId="2" fontId="6" numFmtId="0" xfId="0" applyAlignment="1" applyBorder="1" applyFill="1" applyFont="1">
      <alignment horizontal="center" vertical="center"/>
    </xf>
    <xf borderId="16" fillId="0" fontId="2" numFmtId="0" xfId="0" applyAlignment="1" applyBorder="1" applyFont="1">
      <alignment horizontal="center" readingOrder="0" shrinkToFit="0" vertical="center" wrapText="1"/>
    </xf>
    <xf borderId="16" fillId="0" fontId="7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horizontal="center" readingOrder="0" vertical="center"/>
    </xf>
    <xf borderId="17" fillId="0" fontId="7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readingOrder="0" shrinkToFit="0" vertical="center" wrapText="1"/>
    </xf>
    <xf borderId="16" fillId="0" fontId="2" numFmtId="0" xfId="0" applyAlignment="1" applyBorder="1" applyFont="1">
      <alignment horizontal="center" readingOrder="0" vertical="center"/>
    </xf>
    <xf borderId="11" fillId="0" fontId="2" numFmtId="164" xfId="0" applyAlignment="1" applyBorder="1" applyFont="1" applyNumberFormat="1">
      <alignment horizontal="center" readingOrder="0" shrinkToFit="0" vertical="center" wrapText="1"/>
    </xf>
    <xf borderId="17" fillId="0" fontId="7" numFmtId="0" xfId="0" applyAlignment="1" applyBorder="1" applyFont="1">
      <alignment horizontal="center" readingOrder="0" vertical="center"/>
    </xf>
    <xf borderId="12" fillId="0" fontId="2" numFmtId="164" xfId="0" applyAlignment="1" applyBorder="1" applyFont="1" applyNumberFormat="1">
      <alignment horizontal="center" readingOrder="0" shrinkToFit="0" vertical="center" wrapText="1"/>
    </xf>
    <xf borderId="18" fillId="0" fontId="8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readingOrder="0" vertical="center"/>
    </xf>
    <xf borderId="16" fillId="0" fontId="2" numFmtId="0" xfId="0" applyAlignment="1" applyBorder="1" applyFont="1">
      <alignment readingOrder="0" shrinkToFit="0" vertical="center" wrapText="1"/>
    </xf>
    <xf borderId="16" fillId="0" fontId="2" numFmtId="164" xfId="0" applyAlignment="1" applyBorder="1" applyFont="1" applyNumberFormat="1">
      <alignment horizontal="center" readingOrder="0" shrinkToFit="0" vertical="center" wrapText="1"/>
    </xf>
    <xf borderId="17" fillId="0" fontId="2" numFmtId="164" xfId="0" applyAlignment="1" applyBorder="1" applyFont="1" applyNumberForma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20" fillId="0" fontId="4" numFmtId="0" xfId="0" applyBorder="1" applyFont="1"/>
    <xf borderId="21" fillId="0" fontId="2" numFmtId="0" xfId="0" applyAlignment="1" applyBorder="1" applyFont="1">
      <alignment horizontal="center" readingOrder="0" shrinkToFit="0" vertical="center" wrapText="1"/>
    </xf>
    <xf borderId="21" fillId="0" fontId="7" numFmtId="0" xfId="0" applyAlignment="1" applyBorder="1" applyFont="1">
      <alignment readingOrder="0" shrinkToFit="0" vertical="center" wrapText="1"/>
    </xf>
    <xf borderId="22" fillId="0" fontId="7" numFmtId="0" xfId="0" applyAlignment="1" applyBorder="1" applyFont="1">
      <alignment horizontal="center" readingOrder="0" shrinkToFit="0" vertical="center" wrapText="1"/>
    </xf>
    <xf borderId="23" fillId="0" fontId="2" numFmtId="0" xfId="0" applyBorder="1" applyFont="1"/>
    <xf borderId="1" fillId="0" fontId="2" numFmtId="0" xfId="0" applyAlignment="1" applyBorder="1" applyFont="1">
      <alignment readingOrder="0"/>
    </xf>
    <xf borderId="19" fillId="0" fontId="2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horizontal="center" readingOrder="0" vertical="center"/>
    </xf>
    <xf borderId="22" fillId="0" fontId="7" numFmtId="0" xfId="0" applyAlignment="1" applyBorder="1" applyFont="1">
      <alignment horizontal="center" readingOrder="0" vertical="center"/>
    </xf>
    <xf borderId="24" fillId="0" fontId="2" numFmtId="0" xfId="0" applyAlignment="1" applyBorder="1" applyFont="1">
      <alignment horizontal="center" readingOrder="0" vertical="center"/>
    </xf>
    <xf borderId="23" fillId="0" fontId="7" numFmtId="0" xfId="0" applyBorder="1" applyFont="1"/>
    <xf borderId="25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readingOrder="0" shrinkToFit="0" vertical="center" wrapText="1"/>
    </xf>
    <xf borderId="1" fillId="0" fontId="7" numFmtId="0" xfId="0" applyBorder="1" applyFont="1"/>
    <xf borderId="25" fillId="0" fontId="2" numFmtId="164" xfId="0" applyAlignment="1" applyBorder="1" applyFont="1" applyNumberFormat="1">
      <alignment horizontal="center" readingOrder="0" shrinkToFit="0" vertical="center" wrapText="1"/>
    </xf>
    <xf borderId="26" fillId="0" fontId="2" numFmtId="164" xfId="0" applyAlignment="1" applyBorder="1" applyFont="1" applyNumberFormat="1">
      <alignment horizontal="center" readingOrder="0" shrinkToFit="0" vertical="center" wrapText="1"/>
    </xf>
    <xf borderId="27" fillId="0" fontId="4" numFmtId="0" xfId="0" applyBorder="1" applyFont="1"/>
    <xf borderId="9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shrinkToFit="0" vertical="center" wrapText="1"/>
    </xf>
    <xf borderId="28" fillId="0" fontId="8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shrinkToFit="0" vertical="center" wrapText="1"/>
    </xf>
    <xf borderId="29" fillId="0" fontId="4" numFmtId="0" xfId="0" applyBorder="1" applyFont="1"/>
    <xf borderId="24" fillId="0" fontId="2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shrinkToFit="0" vertical="center" wrapText="1"/>
    </xf>
    <xf borderId="30" fillId="0" fontId="4" numFmtId="0" xfId="0" applyBorder="1" applyFont="1"/>
    <xf borderId="19" fillId="0" fontId="2" numFmtId="0" xfId="0" applyAlignment="1" applyBorder="1" applyFont="1">
      <alignment horizontal="center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1" fillId="0" fontId="2" numFmtId="0" xfId="0" applyAlignment="1" applyBorder="1" applyFont="1">
      <alignment shrinkToFit="0" vertical="center" wrapText="1"/>
    </xf>
    <xf borderId="21" fillId="0" fontId="2" numFmtId="164" xfId="0" applyAlignment="1" applyBorder="1" applyFont="1" applyNumberFormat="1">
      <alignment horizontal="center" readingOrder="0" shrinkToFit="0" vertical="center" wrapText="1"/>
    </xf>
    <xf borderId="22" fillId="0" fontId="2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5" width="23.43"/>
    <col customWidth="1" min="6" max="6" width="20.29"/>
    <col customWidth="1" min="7" max="7" width="22.14"/>
    <col customWidth="1" min="8" max="26" width="10.71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</v>
      </c>
      <c r="B4" s="6"/>
      <c r="C4" s="7">
        <f>SUM(D7:D54)</f>
        <v>336</v>
      </c>
      <c r="D4" s="8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9"/>
      <c r="C5" s="9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3</v>
      </c>
      <c r="B6" s="12" t="s">
        <v>4</v>
      </c>
      <c r="C6" s="14" t="s">
        <v>5</v>
      </c>
      <c r="D6" s="16" t="s">
        <v>6</v>
      </c>
      <c r="E6" s="16" t="s">
        <v>7</v>
      </c>
      <c r="F6" s="16" t="s">
        <v>8</v>
      </c>
      <c r="G6" s="1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4" t="str">
        <f>'Product Backlog tareas Sprint 1'!A7</f>
        <v>SS-H01</v>
      </c>
      <c r="B7" s="26" t="str">
        <f>'Product Backlog tareas Sprint 1'!B7</f>
        <v>T-01</v>
      </c>
      <c r="C7" s="28" t="str">
        <f>'Product Backlog tareas Sprint 1'!C7</f>
        <v>Analizar y definir la problemática, propósito y alcance inicial del proyecto SmartStock.</v>
      </c>
      <c r="D7" s="26">
        <f>'Product Backlog tareas Sprint 1'!D7</f>
        <v>7</v>
      </c>
      <c r="E7" s="30">
        <v>46261.0</v>
      </c>
      <c r="F7" s="32">
        <v>46261.0</v>
      </c>
      <c r="G7" s="33" t="s">
        <v>26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7" t="str">
        <f>'Product Backlog tareas Sprint 1'!A8</f>
        <v>SS-H01</v>
      </c>
      <c r="B8" s="29" t="str">
        <f>'Product Backlog tareas Sprint 1'!B8</f>
        <v>T-02</v>
      </c>
      <c r="C8" s="35" t="str">
        <f>'Product Backlog tareas Sprint 1'!C8</f>
        <v>Completar la definición del proyecto y Acta de Constitución, incluyendo objetivos, interesados y responsabilidades principales.</v>
      </c>
      <c r="D8" s="29">
        <f>'Product Backlog tareas Sprint 1'!D8</f>
        <v>8</v>
      </c>
      <c r="E8" s="36">
        <v>46261.0</v>
      </c>
      <c r="F8" s="37">
        <v>46262.0</v>
      </c>
      <c r="G8" s="3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7" t="str">
        <f>'Product Backlog tareas Sprint 1'!A9</f>
        <v>SS-H02</v>
      </c>
      <c r="B9" s="29" t="str">
        <f>'Product Backlog tareas Sprint 1'!B9</f>
        <v>T-03</v>
      </c>
      <c r="C9" s="35" t="str">
        <f>'Product Backlog tareas Sprint 1'!C9</f>
        <v>Identificar y documentar los requerimientos funcionales de SmartStock.</v>
      </c>
      <c r="D9" s="29">
        <f>'Product Backlog tareas Sprint 1'!D9</f>
        <v>8</v>
      </c>
      <c r="E9" s="36">
        <v>46262.0</v>
      </c>
      <c r="F9" s="37">
        <v>46263.0</v>
      </c>
      <c r="G9" s="3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7" t="str">
        <f>'Product Backlog tareas Sprint 1'!A10</f>
        <v>SS-H02</v>
      </c>
      <c r="B10" s="29" t="str">
        <f>'Product Backlog tareas Sprint 1'!B10</f>
        <v>T-04</v>
      </c>
      <c r="C10" s="35" t="str">
        <f>'Product Backlog tareas Sprint 1'!C10</f>
        <v>Identificar, clasificar y validar los requerimientos no funcionales y revisar la matriz de requerimientos.</v>
      </c>
      <c r="D10" s="29">
        <f>'Product Backlog tareas Sprint 1'!D10</f>
        <v>8</v>
      </c>
      <c r="E10" s="36">
        <v>46263.0</v>
      </c>
      <c r="F10" s="37">
        <v>46264.0</v>
      </c>
      <c r="G10" s="3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7" t="str">
        <f>'Product Backlog tareas Sprint 1'!A11</f>
        <v>SS-H03</v>
      </c>
      <c r="B11" s="29" t="str">
        <f>'Product Backlog tareas Sprint 1'!B11</f>
        <v>T-05</v>
      </c>
      <c r="C11" s="35" t="str">
        <f>'Product Backlog tareas Sprint 1'!C11</f>
        <v>Analizar y seleccionar las tecnologías y herramientas que se utilizarán en el proyecto.</v>
      </c>
      <c r="D11" s="29">
        <f>'Product Backlog tareas Sprint 1'!D11</f>
        <v>7</v>
      </c>
      <c r="E11" s="36">
        <v>46264.0</v>
      </c>
      <c r="F11" s="37">
        <v>46265.0</v>
      </c>
      <c r="G11" s="3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7" t="str">
        <f>'Product Backlog tareas Sprint 1'!A12</f>
        <v>SS-H03</v>
      </c>
      <c r="B12" s="29" t="str">
        <f>'Product Backlog tareas Sprint 1'!B12</f>
        <v>T-06</v>
      </c>
      <c r="C12" s="35" t="str">
        <f>'Product Backlog tareas Sprint 1'!C12</f>
        <v>Definir la arquitectura preliminar y validar técnicamente la propuesta con el equipo.</v>
      </c>
      <c r="D12" s="29">
        <f>'Product Backlog tareas Sprint 1'!D12</f>
        <v>7</v>
      </c>
      <c r="E12" s="36">
        <v>46265.0</v>
      </c>
      <c r="F12" s="37">
        <v>46266.0</v>
      </c>
      <c r="G12" s="3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7" t="str">
        <f>'Product Backlog tareas Sprint 1'!A13</f>
        <v>SS-H04</v>
      </c>
      <c r="B13" s="29" t="str">
        <f>'Product Backlog tareas Sprint 1'!B13</f>
        <v>T-07</v>
      </c>
      <c r="C13" s="35" t="str">
        <f>'Product Backlog tareas Sprint 1'!C13</f>
        <v>Organizar el repositorio GitHub, estructura de carpetas, documentación y evidencias de la Fase 1.</v>
      </c>
      <c r="D13" s="29">
        <f>'Product Backlog tareas Sprint 1'!D13</f>
        <v>5</v>
      </c>
      <c r="E13" s="36">
        <v>46266.0</v>
      </c>
      <c r="F13" s="37">
        <v>46266.0</v>
      </c>
      <c r="G13" s="3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8" t="str">
        <f>'Product Backlog tareas Sprint 1'!A14</f>
        <v>SS-H04</v>
      </c>
      <c r="B14" s="50" t="str">
        <f>'Product Backlog tareas Sprint 1'!B14</f>
        <v>T-08</v>
      </c>
      <c r="C14" s="51" t="str">
        <f>'Product Backlog tareas Sprint 1'!C14</f>
        <v>Revisar, corregir y consolidar la documentación y evidencias generadas durante el Sprint.</v>
      </c>
      <c r="D14" s="50">
        <f>'Product Backlog tareas Sprint 1'!D14</f>
        <v>6</v>
      </c>
      <c r="E14" s="53">
        <v>46266.0</v>
      </c>
      <c r="F14" s="54">
        <v>46267.0</v>
      </c>
      <c r="G14" s="5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6" t="str">
        <f>'Product Backlog tareas Sprint 2'!A7</f>
        <v>SS-H05</v>
      </c>
      <c r="B15" s="57" t="str">
        <f>'Product Backlog tareas Sprint 2'!B7</f>
        <v>T-09</v>
      </c>
      <c r="C15" s="58" t="str">
        <f>'Product Backlog tareas Sprint 2'!C7</f>
        <v>Definir y organizar las épicas principales del proyecto SmartStock.</v>
      </c>
      <c r="D15" s="57">
        <f>'Product Backlog tareas Sprint 2'!D7</f>
        <v>6</v>
      </c>
      <c r="E15" s="30">
        <v>46268.0</v>
      </c>
      <c r="F15" s="32">
        <v>46268.0</v>
      </c>
      <c r="G15" s="59" t="s">
        <v>74</v>
      </c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0" t="str">
        <f>'Product Backlog tareas Sprint 2'!A8</f>
        <v>SS-H05</v>
      </c>
      <c r="B16" s="61" t="str">
        <f>'Product Backlog tareas Sprint 2'!B8</f>
        <v>T-10</v>
      </c>
      <c r="C16" s="62" t="str">
        <f>'Product Backlog tareas Sprint 2'!C8</f>
        <v>Elaborar y revisar las historias de usuario y sus criterios de aceptación.</v>
      </c>
      <c r="D16" s="61">
        <f>'Product Backlog tareas Sprint 2'!D8</f>
        <v>10</v>
      </c>
      <c r="E16" s="36">
        <v>46268.0</v>
      </c>
      <c r="F16" s="37">
        <v>46269.0</v>
      </c>
      <c r="G16" s="63"/>
      <c r="H16" s="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0" t="str">
        <f>'Product Backlog tareas Sprint 2'!A9</f>
        <v>SS-H06</v>
      </c>
      <c r="B17" s="61" t="str">
        <f>'Product Backlog tareas Sprint 2'!B9</f>
        <v>T-11</v>
      </c>
      <c r="C17" s="62" t="str">
        <f>'Product Backlog tareas Sprint 2'!C9</f>
        <v>Priorizar las épicas e historias del Product Backlog utilizando la técnica MoSCoW.</v>
      </c>
      <c r="D17" s="61">
        <f>'Product Backlog tareas Sprint 2'!D9</f>
        <v>6</v>
      </c>
      <c r="E17" s="36">
        <v>46269.0</v>
      </c>
      <c r="F17" s="37">
        <v>46270.0</v>
      </c>
      <c r="G17" s="63"/>
      <c r="H17" s="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0" t="str">
        <f>'Product Backlog tareas Sprint 2'!A10</f>
        <v>SS-H06</v>
      </c>
      <c r="B18" s="61" t="str">
        <f>'Product Backlog tareas Sprint 2'!B10</f>
        <v>T-12</v>
      </c>
      <c r="C18" s="62" t="str">
        <f>'Product Backlog tareas Sprint 2'!C10</f>
        <v>Realizar Planning Poker y asignar puntos de historia utilizando la escala de Fibonacci.</v>
      </c>
      <c r="D18" s="61">
        <f>'Product Backlog tareas Sprint 2'!D10</f>
        <v>7</v>
      </c>
      <c r="E18" s="36">
        <v>46270.0</v>
      </c>
      <c r="F18" s="37">
        <v>46271.0</v>
      </c>
      <c r="G18" s="63"/>
      <c r="H18" s="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0" t="str">
        <f>'Product Backlog tareas Sprint 2'!A11</f>
        <v>SS-H07</v>
      </c>
      <c r="B19" s="61" t="str">
        <f>'Product Backlog tareas Sprint 2'!B11</f>
        <v>T-13</v>
      </c>
      <c r="C19" s="62" t="str">
        <f>'Product Backlog tareas Sprint 2'!C11</f>
        <v>Definir la cantidad de Sprints y distribuir las historias según prioridad y dependencia.</v>
      </c>
      <c r="D19" s="61">
        <f>'Product Backlog tareas Sprint 2'!D11</f>
        <v>7</v>
      </c>
      <c r="E19" s="36">
        <v>46271.0</v>
      </c>
      <c r="F19" s="37">
        <v>46272.0</v>
      </c>
      <c r="G19" s="63"/>
      <c r="H19" s="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0" t="str">
        <f>'Product Backlog tareas Sprint 2'!A12</f>
        <v>SS-H107</v>
      </c>
      <c r="B20" s="61" t="str">
        <f>'Product Backlog tareas Sprint 2'!B12</f>
        <v>T-14</v>
      </c>
      <c r="C20" s="62" t="str">
        <f>'Product Backlog tareas Sprint 2'!C12</f>
        <v>Elaborar los Sprint Backlog con tareas y estimación de horas para cada iteración.</v>
      </c>
      <c r="D20" s="61">
        <f>'Product Backlog tareas Sprint 2'!D12</f>
        <v>8</v>
      </c>
      <c r="E20" s="36">
        <v>46272.0</v>
      </c>
      <c r="F20" s="37">
        <v>46273.0</v>
      </c>
      <c r="G20" s="63"/>
      <c r="H20" s="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0" t="str">
        <f>'Product Backlog tareas Sprint 2'!A13</f>
        <v>SS-H08</v>
      </c>
      <c r="B21" s="61" t="str">
        <f>'Product Backlog tareas Sprint 2'!B13</f>
        <v>T-15</v>
      </c>
      <c r="C21" s="62" t="str">
        <f>'Product Backlog tareas Sprint 2'!C13</f>
        <v>Revisar la coherencia entre requerimientos, épicas, historias, planificación y demás documentos de la Fase 1.</v>
      </c>
      <c r="D21" s="61">
        <f>'Product Backlog tareas Sprint 2'!D13</f>
        <v>6</v>
      </c>
      <c r="E21" s="36">
        <v>46273.0</v>
      </c>
      <c r="F21" s="37">
        <v>46274.0</v>
      </c>
      <c r="G21" s="63"/>
      <c r="H21" s="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4" t="str">
        <f>'Product Backlog tareas Sprint 2'!A14</f>
        <v>SS-H08</v>
      </c>
      <c r="B22" s="65" t="str">
        <f>'Product Backlog tareas Sprint 2'!B14</f>
        <v>T-16</v>
      </c>
      <c r="C22" s="66" t="str">
        <f>'Product Backlog tareas Sprint 2'!C14</f>
        <v>Consolidar, corregir y preparar la documentación y evidencias finales de la Fase 1.</v>
      </c>
      <c r="D22" s="65">
        <f>'Product Backlog tareas Sprint 2'!D14</f>
        <v>6</v>
      </c>
      <c r="E22" s="53">
        <v>46274.0</v>
      </c>
      <c r="F22" s="54">
        <v>46275.0</v>
      </c>
      <c r="G22" s="67"/>
      <c r="H22" s="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6" t="str">
        <f>'Product Backlog tareas Sprint 3'!A7</f>
        <v>SS-H09 / SS-H20 / SS-H10</v>
      </c>
      <c r="B23" s="57" t="str">
        <f>'Product Backlog tareas Sprint 3'!B7</f>
        <v>T-17</v>
      </c>
      <c r="C23" s="58" t="str">
        <f>'Product Backlog tareas Sprint 3'!C7</f>
        <v>Configurar el entorno de desarrollo, estructura inicial del sistema y conexión con la base de datos.</v>
      </c>
      <c r="D23" s="57">
        <f>'Product Backlog tareas Sprint 3'!D7</f>
        <v>7</v>
      </c>
      <c r="E23" s="30">
        <v>46275.0</v>
      </c>
      <c r="F23" s="32">
        <v>46276.0</v>
      </c>
      <c r="G23" s="33" t="s">
        <v>75</v>
      </c>
      <c r="H23" s="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0" t="str">
        <f>'Product Backlog tareas Sprint 3'!A8</f>
        <v>SS-H09 / SS-H20</v>
      </c>
      <c r="B24" s="61" t="str">
        <f>'Product Backlog tareas Sprint 3'!B8</f>
        <v>T-18</v>
      </c>
      <c r="C24" s="62" t="str">
        <f>'Product Backlog tareas Sprint 3'!C8</f>
        <v>Diseñar e implementar el modelo de datos para usuarios, roles y autenticación.</v>
      </c>
      <c r="D24" s="61">
        <f>'Product Backlog tareas Sprint 3'!D8</f>
        <v>8</v>
      </c>
      <c r="E24" s="36">
        <v>46277.0</v>
      </c>
      <c r="F24" s="37">
        <v>46279.0</v>
      </c>
      <c r="G24" s="39"/>
      <c r="H24" s="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0" t="str">
        <f>'Product Backlog tareas Sprint 3'!A9</f>
        <v>SS-H09</v>
      </c>
      <c r="B25" s="61" t="str">
        <f>'Product Backlog tareas Sprint 3'!B9</f>
        <v>T-19</v>
      </c>
      <c r="C25" s="62" t="str">
        <f>'Product Backlog tareas Sprint 3'!C9</f>
        <v>Implementar inicio y cierre de sesión, validación de credenciales y control de cuentas desactivadas.</v>
      </c>
      <c r="D25" s="61">
        <f>'Product Backlog tareas Sprint 3'!D9</f>
        <v>6</v>
      </c>
      <c r="E25" s="36">
        <v>46280.0</v>
      </c>
      <c r="F25" s="37">
        <v>46281.0</v>
      </c>
      <c r="G25" s="39"/>
      <c r="H25" s="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0" t="str">
        <f>'Product Backlog tareas Sprint 3'!A10</f>
        <v>SS-H20</v>
      </c>
      <c r="B26" s="61" t="str">
        <f>'Product Backlog tareas Sprint 3'!B10</f>
        <v>T-20</v>
      </c>
      <c r="C26" s="62" t="str">
        <f>'Product Backlog tareas Sprint 3'!C10</f>
        <v>Implementar creación, edición, activación y desactivación de usuarios.</v>
      </c>
      <c r="D26" s="61">
        <f>'Product Backlog tareas Sprint 3'!D10</f>
        <v>8</v>
      </c>
      <c r="E26" s="36">
        <v>46282.0</v>
      </c>
      <c r="F26" s="37">
        <v>46284.0</v>
      </c>
      <c r="G26" s="39"/>
      <c r="H26" s="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0" t="str">
        <f>'Product Backlog tareas Sprint 3'!A11</f>
        <v>SS-H20</v>
      </c>
      <c r="B27" s="61" t="str">
        <f>'Product Backlog tareas Sprint 3'!B11</f>
        <v>T-21</v>
      </c>
      <c r="C27" s="62" t="str">
        <f>'Product Backlog tareas Sprint 3'!C11</f>
        <v>Implementar asignación de roles, permisos y control de acceso según tipo de usuario.</v>
      </c>
      <c r="D27" s="61">
        <f>'Product Backlog tareas Sprint 3'!D11</f>
        <v>8</v>
      </c>
      <c r="E27" s="36">
        <v>46285.0</v>
      </c>
      <c r="F27" s="37">
        <v>46287.0</v>
      </c>
      <c r="G27" s="39"/>
      <c r="H27" s="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0" t="str">
        <f>'Product Backlog tareas Sprint 3'!A12</f>
        <v>SS-H10</v>
      </c>
      <c r="B28" s="61" t="str">
        <f>'Product Backlog tareas Sprint 3'!B12</f>
        <v>T-22</v>
      </c>
      <c r="C28" s="62" t="str">
        <f>'Product Backlog tareas Sprint 3'!C12</f>
        <v>Implementar modelo de datos y funcionalidades básicas para registrar, editar y desactivar productos.</v>
      </c>
      <c r="D28" s="61">
        <f>'Product Backlog tareas Sprint 3'!D12</f>
        <v>7</v>
      </c>
      <c r="E28" s="36">
        <v>46288.0</v>
      </c>
      <c r="F28" s="37">
        <v>46290.0</v>
      </c>
      <c r="G28" s="39"/>
      <c r="H28" s="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0" t="str">
        <f>'Product Backlog tareas Sprint 3'!A13</f>
        <v>SS-H09 / SS-H10 / SS-H20</v>
      </c>
      <c r="B29" s="61" t="str">
        <f>'Product Backlog tareas Sprint 3'!B13</f>
        <v>T-23</v>
      </c>
      <c r="C29" s="62" t="str">
        <f>'Product Backlog tareas Sprint 3'!C13</f>
        <v>Integrar interfaces, backend y base de datos, realizando pruebas funcionales de los módulos desarrollados.</v>
      </c>
      <c r="D29" s="61">
        <f>'Product Backlog tareas Sprint 3'!D13</f>
        <v>7</v>
      </c>
      <c r="E29" s="36">
        <v>46291.0</v>
      </c>
      <c r="F29" s="37">
        <v>46293.0</v>
      </c>
      <c r="G29" s="39"/>
      <c r="H29" s="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8" t="str">
        <f>'Product Backlog tareas Sprint 3'!A14</f>
        <v>SS-H09 / SS-H10 / SS-H20</v>
      </c>
      <c r="B30" s="69" t="str">
        <f>'Product Backlog tareas Sprint 3'!B14</f>
        <v>T-24</v>
      </c>
      <c r="C30" s="70" t="str">
        <f>'Product Backlog tareas Sprint 3'!C14</f>
        <v>Documentar el incremento desarrollado y recopilar las evidencias correspondientes al Sprint.</v>
      </c>
      <c r="D30" s="69">
        <f>'Product Backlog tareas Sprint 3'!D14</f>
        <v>5</v>
      </c>
      <c r="E30" s="71">
        <v>46294.0</v>
      </c>
      <c r="F30" s="72">
        <v>46295.0</v>
      </c>
      <c r="G30" s="55"/>
      <c r="H30" s="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6" t="str">
        <f>'Product Backlog tareas Sprint 4'!A7</f>
        <v>SS-H12</v>
      </c>
      <c r="B31" s="57" t="str">
        <f>'Product Backlog tareas Sprint 4'!B7</f>
        <v>T-25</v>
      </c>
      <c r="C31" s="58" t="str">
        <f>'Product Backlog tareas Sprint 4'!C7</f>
        <v>Implementar la gestión de sucursales, incluyendo creación, edición y consulta.</v>
      </c>
      <c r="D31" s="57">
        <f>'Product Backlog tareas Sprint 4'!D7</f>
        <v>6</v>
      </c>
      <c r="E31" s="30">
        <v>46296.0</v>
      </c>
      <c r="F31" s="32">
        <v>46298.0</v>
      </c>
      <c r="G31" s="33" t="s">
        <v>76</v>
      </c>
      <c r="H31" s="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0" t="str">
        <f>'Product Backlog tareas Sprint 4'!A8</f>
        <v>SS-H14</v>
      </c>
      <c r="B32" s="61" t="str">
        <f>'Product Backlog tareas Sprint 4'!B8</f>
        <v>T-26</v>
      </c>
      <c r="C32" s="62" t="str">
        <f>'Product Backlog tareas Sprint 4'!C8</f>
        <v>Implementar la gestión de bodegas asociadas a sucursales, incluyendo edición y desactivación lógica.</v>
      </c>
      <c r="D32" s="61">
        <f>'Product Backlog tareas Sprint 4'!D8</f>
        <v>7</v>
      </c>
      <c r="E32" s="36">
        <v>46299.0</v>
      </c>
      <c r="F32" s="37">
        <v>46305.0</v>
      </c>
      <c r="G32" s="39"/>
      <c r="H32" s="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0" t="str">
        <f>'Product Backlog tareas Sprint 4'!A9</f>
        <v>SS-H15</v>
      </c>
      <c r="B33" s="61" t="str">
        <f>'Product Backlog tareas Sprint 4'!B9</f>
        <v>T-27</v>
      </c>
      <c r="C33" s="62" t="str">
        <f>'Product Backlog tareas Sprint 4'!C9</f>
        <v>Implementar pasillos, estanterías, niveles, posiciones y asignación de productos a ubicaciones físicas.</v>
      </c>
      <c r="D33" s="61">
        <f>'Product Backlog tareas Sprint 4'!D9</f>
        <v>8</v>
      </c>
      <c r="E33" s="36">
        <v>46295.0</v>
      </c>
      <c r="F33" s="37">
        <v>46286.0</v>
      </c>
      <c r="G33" s="39"/>
      <c r="H33" s="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0" t="str">
        <f>'Product Backlog tareas Sprint 4'!A10</f>
        <v>SS-H11</v>
      </c>
      <c r="B34" s="61" t="str">
        <f>'Product Backlog tareas Sprint 4'!B10</f>
        <v>T-28</v>
      </c>
      <c r="C34" s="62" t="str">
        <f>'Product Backlog tareas Sprint 4'!C10</f>
        <v>Implementar entradas y salidas de inventario mediante escaneo de código de barras o ingreso manual.</v>
      </c>
      <c r="D34" s="61">
        <f>'Product Backlog tareas Sprint 4'!D10</f>
        <v>10</v>
      </c>
      <c r="E34" s="36">
        <v>46297.0</v>
      </c>
      <c r="F34" s="37">
        <v>46287.0</v>
      </c>
      <c r="G34" s="39"/>
      <c r="H34" s="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0" t="str">
        <f>'Product Backlog tareas Sprint 4'!A11</f>
        <v>SS-H16</v>
      </c>
      <c r="B35" s="61" t="str">
        <f>'Product Backlog tareas Sprint 4'!B11</f>
        <v>T-29</v>
      </c>
      <c r="C35" s="62" t="str">
        <f>'Product Backlog tareas Sprint 4'!C11</f>
        <v>Implementar transferencias de productos entre bodegas con actualización del stock de origen y destino.</v>
      </c>
      <c r="D35" s="61">
        <f>'Product Backlog tareas Sprint 4'!D11</f>
        <v>7</v>
      </c>
      <c r="E35" s="36">
        <v>46299.0</v>
      </c>
      <c r="F35" s="37">
        <v>46288.0</v>
      </c>
      <c r="G35" s="39"/>
      <c r="H35" s="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0" t="str">
        <f>'Product Backlog tareas Sprint 4'!A12</f>
        <v>SS-H17</v>
      </c>
      <c r="B36" s="61" t="str">
        <f>'Product Backlog tareas Sprint 4'!B12</f>
        <v>T-30</v>
      </c>
      <c r="C36" s="62" t="str">
        <f>'Product Backlog tareas Sprint 4'!C12</f>
        <v>Implementar registro de mermas con cantidad, motivo, responsable y actualización del stock.</v>
      </c>
      <c r="D36" s="61">
        <f>'Product Backlog tareas Sprint 4'!D12</f>
        <v>6</v>
      </c>
      <c r="E36" s="36">
        <v>46301.0</v>
      </c>
      <c r="F36" s="37">
        <v>46289.0</v>
      </c>
      <c r="G36" s="39"/>
      <c r="H36" s="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0" t="str">
        <f>'Product Backlog tareas Sprint 4'!A13</f>
        <v>SS-H11 / H12 / H14 / H15 / H16 / H17</v>
      </c>
      <c r="B37" s="61" t="str">
        <f>'Product Backlog tareas Sprint 4'!B13</f>
        <v>T-31</v>
      </c>
      <c r="C37" s="62" t="str">
        <f>'Product Backlog tareas Sprint 4'!C13</f>
        <v>Integrar los módulos desarrollados y ejecutar pruebas funcionales de los principales flujos de inventario.</v>
      </c>
      <c r="D37" s="61">
        <f>'Product Backlog tareas Sprint 4'!D13</f>
        <v>8</v>
      </c>
      <c r="E37" s="36">
        <v>46303.0</v>
      </c>
      <c r="F37" s="37">
        <v>46290.0</v>
      </c>
      <c r="G37" s="39"/>
      <c r="H37" s="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8" t="str">
        <f>'Product Backlog tareas Sprint 4'!A14</f>
        <v>SS-H11 / H12 / H14 / H15 / H16 / H17</v>
      </c>
      <c r="B38" s="69" t="str">
        <f>'Product Backlog tareas Sprint 4'!B14</f>
        <v>T-32</v>
      </c>
      <c r="C38" s="70" t="str">
        <f>'Product Backlog tareas Sprint 4'!C14</f>
        <v>Documentar el incremento desarrollado y recopilar evidencias del Sprint.</v>
      </c>
      <c r="D38" s="69">
        <f>'Product Backlog tareas Sprint 4'!D14</f>
        <v>4</v>
      </c>
      <c r="E38" s="71">
        <v>46305.0</v>
      </c>
      <c r="F38" s="72">
        <v>46291.0</v>
      </c>
      <c r="G38" s="55"/>
      <c r="H38" s="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6" t="str">
        <f>'Product Backlog tareas Sprint 5'!A7</f>
        <v>SS-H18</v>
      </c>
      <c r="B39" s="57" t="str">
        <f>'Product Backlog tareas Sprint 5'!B7</f>
        <v>T-33</v>
      </c>
      <c r="C39" s="58" t="str">
        <f>'Product Backlog tareas Sprint 5'!C7</f>
        <v>Implementar la consulta de stock por producto, sucursal, bodega y ubicación física.</v>
      </c>
      <c r="D39" s="57">
        <f>'Product Backlog tareas Sprint 5'!D7</f>
        <v>7</v>
      </c>
      <c r="E39" s="30"/>
      <c r="F39" s="32"/>
      <c r="G39" s="33" t="s">
        <v>77</v>
      </c>
      <c r="H39" s="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0" t="str">
        <f>'Product Backlog tareas Sprint 5'!A8</f>
        <v>SS-H13</v>
      </c>
      <c r="B40" s="61" t="str">
        <f>'Product Backlog tareas Sprint 5'!B8</f>
        <v>T-34</v>
      </c>
      <c r="C40" s="62" t="str">
        <f>'Product Backlog tareas Sprint 5'!C8</f>
        <v>Implementar la configuración de stock mínimo y generación automática de alertas.</v>
      </c>
      <c r="D40" s="61">
        <f>'Product Backlog tareas Sprint 5'!D8</f>
        <v>7</v>
      </c>
      <c r="E40" s="36"/>
      <c r="F40" s="37"/>
      <c r="G40" s="39"/>
      <c r="H40" s="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0" t="str">
        <f>'Product Backlog tareas Sprint 5'!A9</f>
        <v>SS-H13</v>
      </c>
      <c r="B41" s="61" t="str">
        <f>'Product Backlog tareas Sprint 5'!B9</f>
        <v>T-35</v>
      </c>
      <c r="C41" s="62" t="str">
        <f>'Product Backlog tareas Sprint 5'!C9</f>
        <v>Implementar la visualización, seguimiento y cierre automático de alertas de stock.</v>
      </c>
      <c r="D41" s="61">
        <f>'Product Backlog tareas Sprint 5'!D9</f>
        <v>6</v>
      </c>
      <c r="E41" s="36"/>
      <c r="F41" s="37"/>
      <c r="G41" s="39"/>
      <c r="H41" s="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0" t="str">
        <f>'Product Backlog tareas Sprint 5'!A10</f>
        <v>SS-H19</v>
      </c>
      <c r="B42" s="61" t="str">
        <f>'Product Backlog tareas Sprint 5'!B10</f>
        <v>T-36</v>
      </c>
      <c r="C42" s="62" t="str">
        <f>'Product Backlog tareas Sprint 5'!C10</f>
        <v>Implementar historial, detalle y filtros de movimientos para mantener la trazabilidad del inventario.</v>
      </c>
      <c r="D42" s="61">
        <f>'Product Backlog tareas Sprint 5'!D10</f>
        <v>9</v>
      </c>
      <c r="E42" s="36"/>
      <c r="F42" s="37"/>
      <c r="G42" s="39"/>
      <c r="H42" s="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0" t="str">
        <f>'Product Backlog tareas Sprint 5'!A11</f>
        <v>SS-H21</v>
      </c>
      <c r="B43" s="61" t="str">
        <f>'Product Backlog tareas Sprint 5'!B11</f>
        <v>T-37</v>
      </c>
      <c r="C43" s="62" t="str">
        <f>'Product Backlog tareas Sprint 5'!C11</f>
        <v>Implementar conteos físicos y comparación entre inventario físico y stock registrado.</v>
      </c>
      <c r="D43" s="61">
        <f>'Product Backlog tareas Sprint 5'!D11</f>
        <v>8</v>
      </c>
      <c r="E43" s="36"/>
      <c r="F43" s="37"/>
      <c r="G43" s="39"/>
      <c r="H43" s="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0" t="str">
        <f>'Product Backlog tareas Sprint 5'!A12</f>
        <v>SS-H22</v>
      </c>
      <c r="B44" s="61" t="str">
        <f>'Product Backlog tareas Sprint 5'!B12</f>
        <v>T-38</v>
      </c>
      <c r="C44" s="62" t="str">
        <f>'Product Backlog tareas Sprint 5'!C12</f>
        <v>Implementar ajustes de inventario con cantidad, motivo, responsable y registro de trazabilidad.</v>
      </c>
      <c r="D44" s="61">
        <f>'Product Backlog tareas Sprint 5'!D12</f>
        <v>7</v>
      </c>
      <c r="E44" s="36"/>
      <c r="F44" s="37"/>
      <c r="G44" s="39"/>
      <c r="H44" s="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0" t="str">
        <f>'Product Backlog tareas Sprint 5'!A13</f>
        <v>SS-H13 / H18 / H19 / H21 / H22</v>
      </c>
      <c r="B45" s="61" t="str">
        <f>'Product Backlog tareas Sprint 5'!B13</f>
        <v>T-39</v>
      </c>
      <c r="C45" s="62" t="str">
        <f>'Product Backlog tareas Sprint 5'!C13</f>
        <v>Integrar los módulos de control de inventario y ejecutar pruebas funcionales de los principales escenarios.</v>
      </c>
      <c r="D45" s="61">
        <f>'Product Backlog tareas Sprint 5'!D13</f>
        <v>8</v>
      </c>
      <c r="E45" s="36"/>
      <c r="F45" s="37"/>
      <c r="G45" s="39"/>
      <c r="H45" s="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8" t="str">
        <f>'Product Backlog tareas Sprint 5'!A14</f>
        <v>SS-H13 / H18 / H19 / H21 / H22</v>
      </c>
      <c r="B46" s="69" t="str">
        <f>'Product Backlog tareas Sprint 5'!B14</f>
        <v>T-40</v>
      </c>
      <c r="C46" s="70" t="str">
        <f>'Product Backlog tareas Sprint 5'!C14</f>
        <v>Documentar el incremento desarrollado y recopilar evidencias del Sprint.</v>
      </c>
      <c r="D46" s="69">
        <f>'Product Backlog tareas Sprint 5'!D14</f>
        <v>4</v>
      </c>
      <c r="E46" s="71"/>
      <c r="F46" s="72"/>
      <c r="G46" s="55"/>
      <c r="H46" s="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6" t="str">
        <f>'Product Backlog tareas Sprint 6'!A7</f>
        <v>SS-H09 a SS-H22</v>
      </c>
      <c r="B47" s="57" t="str">
        <f>'Product Backlog tareas Sprint 6'!B7</f>
        <v>T-41</v>
      </c>
      <c r="C47" s="58" t="str">
        <f>'Product Backlog tareas Sprint 6'!C7</f>
        <v>Integrar los módulos desarrollados y verificar el flujo completo de funcionamiento de SmartStock.</v>
      </c>
      <c r="D47" s="57">
        <f>'Product Backlog tareas Sprint 6'!D7</f>
        <v>10</v>
      </c>
      <c r="E47" s="30"/>
      <c r="F47" s="32"/>
      <c r="G47" s="33" t="s">
        <v>78</v>
      </c>
      <c r="H47" s="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0" t="str">
        <f>'Product Backlog tareas Sprint 6'!A8</f>
        <v>SS-H09 a SS-H22</v>
      </c>
      <c r="B48" s="61" t="str">
        <f>'Product Backlog tareas Sprint 6'!B8</f>
        <v>T-42</v>
      </c>
      <c r="C48" s="62" t="str">
        <f>'Product Backlog tareas Sprint 6'!C8</f>
        <v>Verificar la comunicación y consistencia de datos entre interfaces, APIs y base de datos.</v>
      </c>
      <c r="D48" s="61">
        <f>'Product Backlog tareas Sprint 6'!D8</f>
        <v>8</v>
      </c>
      <c r="E48" s="36"/>
      <c r="F48" s="37"/>
      <c r="G48" s="39"/>
      <c r="H48" s="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0" t="str">
        <f>'Product Backlog tareas Sprint 6'!A9</f>
        <v>SS-H09 a SS-H22</v>
      </c>
      <c r="B49" s="61" t="str">
        <f>'Product Backlog tareas Sprint 6'!B9</f>
        <v>T-43</v>
      </c>
      <c r="C49" s="62" t="str">
        <f>'Product Backlog tareas Sprint 6'!C9</f>
        <v>Ejecutar pruebas funcionales e integrales sobre los principales flujos del sistema.</v>
      </c>
      <c r="D49" s="61">
        <f>'Product Backlog tareas Sprint 6'!D9</f>
        <v>9</v>
      </c>
      <c r="E49" s="36"/>
      <c r="F49" s="37"/>
      <c r="G49" s="39"/>
      <c r="H49" s="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0" t="str">
        <f>'Product Backlog tareas Sprint 6'!A10</f>
        <v>SS-H09 / SS-H20</v>
      </c>
      <c r="B50" s="61" t="str">
        <f>'Product Backlog tareas Sprint 6'!B10</f>
        <v>T-44</v>
      </c>
      <c r="C50" s="62" t="str">
        <f>'Product Backlog tareas Sprint 6'!C10</f>
        <v>Validar autenticación, roles, permisos y restricciones de acceso del sistema.</v>
      </c>
      <c r="D50" s="61">
        <f>'Product Backlog tareas Sprint 6'!D10</f>
        <v>6</v>
      </c>
      <c r="E50" s="36"/>
      <c r="F50" s="37"/>
      <c r="G50" s="39"/>
      <c r="H50" s="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0" t="str">
        <f>'Product Backlog tareas Sprint 6'!A11</f>
        <v>SS-H09 a SS-H22</v>
      </c>
      <c r="B51" s="61" t="str">
        <f>'Product Backlog tareas Sprint 6'!B11</f>
        <v>T-45</v>
      </c>
      <c r="C51" s="62" t="str">
        <f>'Product Backlog tareas Sprint 6'!C11</f>
        <v>Corregir errores e incidencias detectadas y realizar ajustes finales de funcionamiento.</v>
      </c>
      <c r="D51" s="61">
        <f>'Product Backlog tareas Sprint 6'!D11</f>
        <v>8</v>
      </c>
      <c r="E51" s="36"/>
      <c r="F51" s="37"/>
      <c r="G51" s="39"/>
      <c r="H51" s="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0" t="str">
        <f>'Product Backlog tareas Sprint 6'!A12</f>
        <v>SS-H09 a SS-H22</v>
      </c>
      <c r="B52" s="61" t="str">
        <f>'Product Backlog tareas Sprint 6'!B12</f>
        <v>T-46</v>
      </c>
      <c r="C52" s="62" t="str">
        <f>'Product Backlog tareas Sprint 6'!C12</f>
        <v>Preparar y realizar el despliegue de la versión final de SmartStock.</v>
      </c>
      <c r="D52" s="61">
        <f>'Product Backlog tareas Sprint 6'!D12</f>
        <v>6</v>
      </c>
      <c r="E52" s="36"/>
      <c r="F52" s="37"/>
      <c r="G52" s="39"/>
      <c r="H52" s="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0" t="str">
        <f>'Product Backlog tareas Sprint 6'!A13</f>
        <v>SS-H09 a SS-H22</v>
      </c>
      <c r="B53" s="61" t="str">
        <f>'Product Backlog tareas Sprint 6'!B13</f>
        <v>T-47</v>
      </c>
      <c r="C53" s="62" t="str">
        <f>'Product Backlog tareas Sprint 6'!C13</f>
        <v>Completar documentación técnica, manuales, evidencias y registros finales del proyecto.</v>
      </c>
      <c r="D53" s="61">
        <f>'Product Backlog tareas Sprint 6'!D13</f>
        <v>5</v>
      </c>
      <c r="E53" s="36"/>
      <c r="F53" s="37"/>
      <c r="G53" s="39"/>
      <c r="H53" s="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8" t="str">
        <f>'Product Backlog tareas Sprint 6'!A14</f>
        <v>SS-H09 a SS-H22</v>
      </c>
      <c r="B54" s="69" t="str">
        <f>'Product Backlog tareas Sprint 6'!B14</f>
        <v>T-48</v>
      </c>
      <c r="C54" s="70" t="str">
        <f>'Product Backlog tareas Sprint 6'!C14</f>
        <v>Preparar la demostración, presentación y entrega final de SmartStock.</v>
      </c>
      <c r="D54" s="69">
        <f>'Product Backlog tareas Sprint 6'!D14</f>
        <v>4</v>
      </c>
      <c r="E54" s="71"/>
      <c r="F54" s="72"/>
      <c r="G54" s="55"/>
      <c r="H54" s="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3"/>
      <c r="B55" s="43"/>
      <c r="C55" s="43"/>
      <c r="D55" s="43"/>
      <c r="E55" s="43"/>
      <c r="F55" s="4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A4:B4"/>
    <mergeCell ref="G7:G14"/>
    <mergeCell ref="G15:G22"/>
    <mergeCell ref="G23:G30"/>
    <mergeCell ref="G31:G38"/>
    <mergeCell ref="G39:G46"/>
    <mergeCell ref="G47:G5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 ht="1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5" t="s">
        <v>2</v>
      </c>
      <c r="B4" s="6"/>
      <c r="C4" s="7">
        <f>SUM(D7:D14)</f>
        <v>56</v>
      </c>
      <c r="D4" s="8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9"/>
      <c r="B5" s="9"/>
      <c r="C5" s="9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19" t="s">
        <v>3</v>
      </c>
      <c r="B6" s="21" t="s">
        <v>4</v>
      </c>
      <c r="C6" s="13" t="s">
        <v>5</v>
      </c>
      <c r="D6" s="15" t="s">
        <v>6</v>
      </c>
      <c r="E6" s="1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 customHeight="1">
      <c r="A7" s="27" t="s">
        <v>15</v>
      </c>
      <c r="B7" s="29" t="s">
        <v>19</v>
      </c>
      <c r="C7" s="23" t="s">
        <v>20</v>
      </c>
      <c r="D7" s="31">
        <v>7.0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4" t="s">
        <v>15</v>
      </c>
      <c r="B8" s="29" t="s">
        <v>34</v>
      </c>
      <c r="C8" s="23" t="s">
        <v>36</v>
      </c>
      <c r="D8" s="31">
        <v>8.0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 customHeight="1">
      <c r="A9" s="34" t="s">
        <v>42</v>
      </c>
      <c r="B9" s="29" t="s">
        <v>43</v>
      </c>
      <c r="C9" s="23" t="s">
        <v>44</v>
      </c>
      <c r="D9" s="31">
        <v>8.0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27" t="s">
        <v>42</v>
      </c>
      <c r="B10" s="29" t="s">
        <v>51</v>
      </c>
      <c r="C10" s="23" t="s">
        <v>52</v>
      </c>
      <c r="D10" s="31">
        <v>8.0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8.25" customHeight="1">
      <c r="A11" s="27" t="s">
        <v>58</v>
      </c>
      <c r="B11" s="29" t="s">
        <v>59</v>
      </c>
      <c r="C11" s="23" t="s">
        <v>60</v>
      </c>
      <c r="D11" s="31">
        <v>7.0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8.25" customHeight="1">
      <c r="A12" s="27" t="s">
        <v>58</v>
      </c>
      <c r="B12" s="29" t="s">
        <v>64</v>
      </c>
      <c r="C12" s="23" t="s">
        <v>65</v>
      </c>
      <c r="D12" s="31">
        <v>7.0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27" t="s">
        <v>68</v>
      </c>
      <c r="B13" s="29" t="s">
        <v>69</v>
      </c>
      <c r="C13" s="23" t="s">
        <v>70</v>
      </c>
      <c r="D13" s="31">
        <v>5.0</v>
      </c>
      <c r="E13" s="8"/>
      <c r="F13" s="2"/>
      <c r="G13" s="2"/>
      <c r="H13" s="2"/>
      <c r="I13" s="2"/>
      <c r="J13" s="2"/>
      <c r="K13" s="2"/>
      <c r="L13" s="2"/>
      <c r="M13" s="2"/>
      <c r="N13" s="44" t="s">
        <v>71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8.25" customHeight="1">
      <c r="A14" s="45" t="s">
        <v>68</v>
      </c>
      <c r="B14" s="46" t="s">
        <v>72</v>
      </c>
      <c r="C14" s="41" t="s">
        <v>73</v>
      </c>
      <c r="D14" s="47">
        <v>6.0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43"/>
      <c r="B15" s="43"/>
      <c r="C15" s="43"/>
      <c r="D15" s="4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8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8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8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8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8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3"/>
      <c r="B29" s="43"/>
      <c r="C29" s="49"/>
      <c r="D29" s="4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5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5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5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5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5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5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5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5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5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B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 ht="1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5" t="s">
        <v>2</v>
      </c>
      <c r="B4" s="6"/>
      <c r="C4" s="7">
        <f>SUM(D7:D14)</f>
        <v>56</v>
      </c>
      <c r="D4" s="8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9"/>
      <c r="B5" s="9"/>
      <c r="C5" s="9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11" t="s">
        <v>3</v>
      </c>
      <c r="B6" s="13" t="s">
        <v>4</v>
      </c>
      <c r="C6" s="13" t="s">
        <v>5</v>
      </c>
      <c r="D6" s="15" t="s">
        <v>6</v>
      </c>
      <c r="E6" s="1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 customHeight="1">
      <c r="A7" s="20" t="s">
        <v>9</v>
      </c>
      <c r="B7" s="22" t="s">
        <v>10</v>
      </c>
      <c r="C7" s="23" t="s">
        <v>14</v>
      </c>
      <c r="D7" s="25">
        <v>6.0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8.25" customHeight="1">
      <c r="A8" s="20" t="s">
        <v>9</v>
      </c>
      <c r="B8" s="22" t="s">
        <v>24</v>
      </c>
      <c r="C8" s="23" t="s">
        <v>25</v>
      </c>
      <c r="D8" s="25">
        <v>10.0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 customHeight="1">
      <c r="A9" s="20" t="s">
        <v>30</v>
      </c>
      <c r="B9" s="22" t="s">
        <v>31</v>
      </c>
      <c r="C9" s="23" t="s">
        <v>32</v>
      </c>
      <c r="D9" s="25">
        <v>6.0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20" t="s">
        <v>30</v>
      </c>
      <c r="B10" s="22" t="s">
        <v>39</v>
      </c>
      <c r="C10" s="23" t="s">
        <v>41</v>
      </c>
      <c r="D10" s="25">
        <v>7.0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8.25" customHeight="1">
      <c r="A11" s="20" t="s">
        <v>48</v>
      </c>
      <c r="B11" s="22" t="s">
        <v>49</v>
      </c>
      <c r="C11" s="23" t="s">
        <v>50</v>
      </c>
      <c r="D11" s="25">
        <v>7.0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8.25" customHeight="1">
      <c r="A12" s="20" t="s">
        <v>55</v>
      </c>
      <c r="B12" s="22" t="s">
        <v>56</v>
      </c>
      <c r="C12" s="23" t="s">
        <v>57</v>
      </c>
      <c r="D12" s="25">
        <v>8.0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20" t="s">
        <v>61</v>
      </c>
      <c r="B13" s="22" t="s">
        <v>62</v>
      </c>
      <c r="C13" s="23" t="s">
        <v>63</v>
      </c>
      <c r="D13" s="25">
        <v>6.0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8.25" customHeight="1">
      <c r="A14" s="38" t="s">
        <v>61</v>
      </c>
      <c r="B14" s="40" t="s">
        <v>66</v>
      </c>
      <c r="C14" s="41" t="s">
        <v>67</v>
      </c>
      <c r="D14" s="42">
        <v>6.0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43"/>
      <c r="B15" s="43"/>
      <c r="C15" s="43"/>
      <c r="D15" s="4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8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8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8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8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8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3"/>
      <c r="B29" s="43"/>
      <c r="C29" s="49"/>
      <c r="D29" s="4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5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5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5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5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5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5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5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5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5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B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 ht="1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5" t="s">
        <v>2</v>
      </c>
      <c r="B4" s="6"/>
      <c r="C4" s="7">
        <f>SUM(D7:D14)</f>
        <v>56</v>
      </c>
      <c r="D4" s="8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9"/>
      <c r="B5" s="9"/>
      <c r="C5" s="9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11" t="s">
        <v>3</v>
      </c>
      <c r="B6" s="13" t="s">
        <v>4</v>
      </c>
      <c r="C6" s="13" t="s">
        <v>5</v>
      </c>
      <c r="D6" s="15" t="s">
        <v>6</v>
      </c>
      <c r="E6" s="1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 customHeight="1">
      <c r="A7" s="20" t="s">
        <v>11</v>
      </c>
      <c r="B7" s="22" t="s">
        <v>12</v>
      </c>
      <c r="C7" s="23" t="s">
        <v>13</v>
      </c>
      <c r="D7" s="25">
        <v>7.0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8.25" customHeight="1">
      <c r="A8" s="20" t="s">
        <v>16</v>
      </c>
      <c r="B8" s="22" t="s">
        <v>17</v>
      </c>
      <c r="C8" s="23" t="s">
        <v>18</v>
      </c>
      <c r="D8" s="25">
        <v>8.0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 customHeight="1">
      <c r="A9" s="20" t="s">
        <v>21</v>
      </c>
      <c r="B9" s="22" t="s">
        <v>22</v>
      </c>
      <c r="C9" s="23" t="s">
        <v>23</v>
      </c>
      <c r="D9" s="25">
        <v>6.0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20" t="s">
        <v>27</v>
      </c>
      <c r="B10" s="22" t="s">
        <v>28</v>
      </c>
      <c r="C10" s="23" t="s">
        <v>29</v>
      </c>
      <c r="D10" s="25">
        <v>8.0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8.25" customHeight="1">
      <c r="A11" s="20" t="s">
        <v>27</v>
      </c>
      <c r="B11" s="22" t="s">
        <v>33</v>
      </c>
      <c r="C11" s="23" t="s">
        <v>35</v>
      </c>
      <c r="D11" s="25">
        <v>8.0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8.25" customHeight="1">
      <c r="A12" s="20" t="s">
        <v>37</v>
      </c>
      <c r="B12" s="22" t="s">
        <v>38</v>
      </c>
      <c r="C12" s="23" t="s">
        <v>40</v>
      </c>
      <c r="D12" s="25">
        <v>7.0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20" t="s">
        <v>45</v>
      </c>
      <c r="B13" s="22" t="s">
        <v>46</v>
      </c>
      <c r="C13" s="23" t="s">
        <v>47</v>
      </c>
      <c r="D13" s="25">
        <v>7.0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8.25" customHeight="1">
      <c r="A14" s="38" t="s">
        <v>45</v>
      </c>
      <c r="B14" s="40" t="s">
        <v>53</v>
      </c>
      <c r="C14" s="41" t="s">
        <v>54</v>
      </c>
      <c r="D14" s="42">
        <v>5.0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43"/>
      <c r="B15" s="43"/>
      <c r="C15" s="43"/>
      <c r="D15" s="4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8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8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8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8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8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3"/>
      <c r="B29" s="43"/>
      <c r="C29" s="49"/>
      <c r="D29" s="4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5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5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5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5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5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5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5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5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5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B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 ht="1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5" t="s">
        <v>2</v>
      </c>
      <c r="B4" s="6"/>
      <c r="C4" s="7">
        <f>SUM(D7:D14)</f>
        <v>56</v>
      </c>
      <c r="D4" s="8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9"/>
      <c r="B5" s="9"/>
      <c r="C5" s="9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11" t="s">
        <v>3</v>
      </c>
      <c r="B6" s="13" t="s">
        <v>4</v>
      </c>
      <c r="C6" s="13" t="s">
        <v>5</v>
      </c>
      <c r="D6" s="15" t="s">
        <v>6</v>
      </c>
      <c r="E6" s="1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 customHeight="1">
      <c r="A7" s="20" t="s">
        <v>79</v>
      </c>
      <c r="B7" s="22" t="s">
        <v>80</v>
      </c>
      <c r="C7" s="23" t="s">
        <v>81</v>
      </c>
      <c r="D7" s="25">
        <v>6.0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20" t="s">
        <v>82</v>
      </c>
      <c r="B8" s="22" t="s">
        <v>83</v>
      </c>
      <c r="C8" s="23" t="s">
        <v>84</v>
      </c>
      <c r="D8" s="25">
        <v>7.0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 customHeight="1">
      <c r="A9" s="20" t="s">
        <v>85</v>
      </c>
      <c r="B9" s="22" t="s">
        <v>86</v>
      </c>
      <c r="C9" s="23" t="s">
        <v>87</v>
      </c>
      <c r="D9" s="25">
        <v>8.0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20" t="s">
        <v>88</v>
      </c>
      <c r="B10" s="22" t="s">
        <v>89</v>
      </c>
      <c r="C10" s="23" t="s">
        <v>90</v>
      </c>
      <c r="D10" s="25">
        <v>10.0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8.25" customHeight="1">
      <c r="A11" s="20" t="s">
        <v>91</v>
      </c>
      <c r="B11" s="22" t="s">
        <v>92</v>
      </c>
      <c r="C11" s="23" t="s">
        <v>93</v>
      </c>
      <c r="D11" s="25">
        <v>7.0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8.25" customHeight="1">
      <c r="A12" s="20" t="s">
        <v>94</v>
      </c>
      <c r="B12" s="22" t="s">
        <v>95</v>
      </c>
      <c r="C12" s="23" t="s">
        <v>96</v>
      </c>
      <c r="D12" s="25">
        <v>6.0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20" t="s">
        <v>97</v>
      </c>
      <c r="B13" s="22" t="s">
        <v>98</v>
      </c>
      <c r="C13" s="23" t="s">
        <v>99</v>
      </c>
      <c r="D13" s="25">
        <v>8.0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8.25" customHeight="1">
      <c r="A14" s="38" t="s">
        <v>97</v>
      </c>
      <c r="B14" s="40" t="s">
        <v>100</v>
      </c>
      <c r="C14" s="41" t="s">
        <v>101</v>
      </c>
      <c r="D14" s="42">
        <v>4.0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43"/>
      <c r="B15" s="43"/>
      <c r="C15" s="43"/>
      <c r="D15" s="4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8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8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8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8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8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3"/>
      <c r="B29" s="43"/>
      <c r="C29" s="49"/>
      <c r="D29" s="4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5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5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5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5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5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5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5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5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5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B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 ht="1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5" t="s">
        <v>2</v>
      </c>
      <c r="B4" s="6"/>
      <c r="C4" s="7">
        <f>SUM(D7:D14)</f>
        <v>56</v>
      </c>
      <c r="D4" s="8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9"/>
      <c r="B5" s="9"/>
      <c r="C5" s="9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19" t="s">
        <v>3</v>
      </c>
      <c r="B6" s="21" t="s">
        <v>4</v>
      </c>
      <c r="C6" s="13" t="s">
        <v>5</v>
      </c>
      <c r="D6" s="15" t="s">
        <v>6</v>
      </c>
      <c r="E6" s="1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 customHeight="1">
      <c r="A7" s="73" t="s">
        <v>102</v>
      </c>
      <c r="B7" s="29" t="s">
        <v>103</v>
      </c>
      <c r="C7" s="23" t="s">
        <v>104</v>
      </c>
      <c r="D7" s="31">
        <v>7.0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4.5" customHeight="1">
      <c r="A8" s="20" t="s">
        <v>105</v>
      </c>
      <c r="B8" s="29" t="s">
        <v>106</v>
      </c>
      <c r="C8" s="23" t="s">
        <v>108</v>
      </c>
      <c r="D8" s="31">
        <v>7.0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 customHeight="1">
      <c r="A9" s="20" t="s">
        <v>105</v>
      </c>
      <c r="B9" s="29" t="s">
        <v>111</v>
      </c>
      <c r="C9" s="23" t="s">
        <v>112</v>
      </c>
      <c r="D9" s="31">
        <v>6.0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20" t="s">
        <v>115</v>
      </c>
      <c r="B10" s="29" t="s">
        <v>116</v>
      </c>
      <c r="C10" s="23" t="s">
        <v>117</v>
      </c>
      <c r="D10" s="31">
        <v>9.0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8.25" customHeight="1">
      <c r="A11" s="20" t="s">
        <v>119</v>
      </c>
      <c r="B11" s="29" t="s">
        <v>121</v>
      </c>
      <c r="C11" s="23" t="s">
        <v>122</v>
      </c>
      <c r="D11" s="31">
        <v>8.0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8.25" customHeight="1">
      <c r="A12" s="20" t="s">
        <v>124</v>
      </c>
      <c r="B12" s="29" t="s">
        <v>126</v>
      </c>
      <c r="C12" s="23" t="s">
        <v>127</v>
      </c>
      <c r="D12" s="31">
        <v>7.0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20" t="s">
        <v>129</v>
      </c>
      <c r="B13" s="29" t="s">
        <v>131</v>
      </c>
      <c r="C13" s="23" t="s">
        <v>132</v>
      </c>
      <c r="D13" s="31">
        <v>8.0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8.25" customHeight="1">
      <c r="A14" s="38" t="s">
        <v>129</v>
      </c>
      <c r="B14" s="46" t="s">
        <v>133</v>
      </c>
      <c r="C14" s="41" t="s">
        <v>101</v>
      </c>
      <c r="D14" s="47">
        <v>4.0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43"/>
      <c r="B15" s="43"/>
      <c r="C15" s="43"/>
      <c r="D15" s="4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8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8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8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8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8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3"/>
      <c r="B29" s="43"/>
      <c r="C29" s="49"/>
      <c r="D29" s="4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5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5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5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5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5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5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5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5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5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B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 ht="1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5" t="s">
        <v>2</v>
      </c>
      <c r="B4" s="6"/>
      <c r="C4" s="7">
        <f>SUM(D7:D14)</f>
        <v>56</v>
      </c>
      <c r="D4" s="8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9"/>
      <c r="B5" s="9"/>
      <c r="C5" s="9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19" t="s">
        <v>3</v>
      </c>
      <c r="B6" s="21" t="s">
        <v>4</v>
      </c>
      <c r="C6" s="13" t="s">
        <v>5</v>
      </c>
      <c r="D6" s="15" t="s">
        <v>6</v>
      </c>
      <c r="E6" s="1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 customHeight="1">
      <c r="A7" s="73" t="s">
        <v>107</v>
      </c>
      <c r="B7" s="29" t="s">
        <v>109</v>
      </c>
      <c r="C7" s="23" t="s">
        <v>110</v>
      </c>
      <c r="D7" s="31">
        <v>10.0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2.0" customHeight="1">
      <c r="A8" s="20" t="s">
        <v>107</v>
      </c>
      <c r="B8" s="29" t="s">
        <v>113</v>
      </c>
      <c r="C8" s="23" t="s">
        <v>114</v>
      </c>
      <c r="D8" s="31">
        <v>8.0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 customHeight="1">
      <c r="A9" s="20" t="s">
        <v>107</v>
      </c>
      <c r="B9" s="29" t="s">
        <v>118</v>
      </c>
      <c r="C9" s="23" t="s">
        <v>120</v>
      </c>
      <c r="D9" s="31">
        <v>9.0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20" t="s">
        <v>16</v>
      </c>
      <c r="B10" s="29" t="s">
        <v>123</v>
      </c>
      <c r="C10" s="23" t="s">
        <v>125</v>
      </c>
      <c r="D10" s="31">
        <v>6.0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8.25" customHeight="1">
      <c r="A11" s="20" t="s">
        <v>107</v>
      </c>
      <c r="B11" s="29" t="s">
        <v>128</v>
      </c>
      <c r="C11" s="23" t="s">
        <v>130</v>
      </c>
      <c r="D11" s="31">
        <v>8.0</v>
      </c>
      <c r="E11" s="8"/>
      <c r="F11" s="2"/>
      <c r="G11" s="7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8.25" customHeight="1">
      <c r="A12" s="20" t="s">
        <v>107</v>
      </c>
      <c r="B12" s="29" t="s">
        <v>134</v>
      </c>
      <c r="C12" s="23" t="s">
        <v>135</v>
      </c>
      <c r="D12" s="31">
        <v>6.0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20" t="s">
        <v>107</v>
      </c>
      <c r="B13" s="29" t="s">
        <v>136</v>
      </c>
      <c r="C13" s="23" t="s">
        <v>137</v>
      </c>
      <c r="D13" s="31">
        <v>5.0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8.25" customHeight="1">
      <c r="A14" s="38" t="s">
        <v>107</v>
      </c>
      <c r="B14" s="46" t="s">
        <v>138</v>
      </c>
      <c r="C14" s="41" t="s">
        <v>139</v>
      </c>
      <c r="D14" s="47">
        <v>4.0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43"/>
      <c r="B15" s="43"/>
      <c r="C15" s="43"/>
      <c r="D15" s="4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8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8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8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8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8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3"/>
      <c r="B29" s="43"/>
      <c r="C29" s="49"/>
      <c r="D29" s="4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5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5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5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5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5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5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5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5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5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B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